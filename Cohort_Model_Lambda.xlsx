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plehealthgroup-my.sharepoint.com/personal/rob_blissett_maplehealthgroup_com/Documents/Documents/"/>
    </mc:Choice>
  </mc:AlternateContent>
  <xr:revisionPtr revIDLastSave="77" documentId="8_{4D3C4BB9-6FC8-45A4-92C1-6602CD9246E1}" xr6:coauthVersionLast="47" xr6:coauthVersionMax="47" xr10:uidLastSave="{D73D414A-B3B8-4FB1-BBEB-681F774F88C6}"/>
  <bookViews>
    <workbookView xWindow="19110" yWindow="0" windowWidth="19380" windowHeight="20970" xr2:uid="{7FB62229-D19C-4C4B-8CC6-6A2A98466C51}"/>
  </bookViews>
  <sheets>
    <sheet name="Sheet1" sheetId="1" r:id="rId1"/>
  </sheets>
  <definedNames>
    <definedName name="CohortSTM">_xlfn.LAMBDA(_xlpm.initial_state,_xlpm.transition_matrix,_xlpm.state_costs,_xlpm.state_utils,_xlpm.cost_rate,_xlpm.effect_rate,_xlpm.n_cycles, _xlfn.LET(_xlpm.n_states, COLUMNS(_xlpm.initial_state), _xlpm.alive_vector, --(_xlpm.state_utils &gt; 0), _xlpm.results, _xlfn.REDUCE(_xlfn.HSTACK(_xlpm.initial_state, 0, 0, 0), _xlfn.SEQUENCE(_xlpm.n_cycles), _xlfn.LAMBDA(_xlpm.accumulator,_xlpm.cycle, _xlfn.LET(_xlpm.current_state, _xlfn.TAKE(_xlpm.accumulator, , _xlpm.n_states), _xlpm.next_state, MMULT(_xlpm.current_state, _xlpm.transition_matrix), _xlpm.cycle_cost, SUMPRODUCT(_xlpm.next_state, _xlpm.state_costs) / (1 + _xlpm.cost_rate) ^ _xlpm.cycle, _xlpm.cycle_qaly, SUMPRODUCT(_xlpm.next_state, _xlpm.state_utils) / (1 + _xlpm.effect_rate) ^ _xlpm.cycle, _xlpm.cycle_ly, SUMPRODUCT(_xlpm.next_state, _xlpm.alive_vector) / (1 + _xlpm.effect_rate) ^ _xlpm.cycle, _xlfn.HSTACK(_xlpm.next_state, INDEX(_xlpm.accumulator, 1, _xlpm.n_states + 1) + _xlpm.cycle_cost, INDEX(_xlpm.accumulator, 1, _xlpm.n_states + 2) + _xlpm.cycle_qaly, INDEX(_xlpm.accumulator, 1, _xlpm.n_states + 3) + _xlpm.cycle_ly)))), _xlfn.VSTACK({"Disc_Cost","Disc_QALY","Disc_LY"}, _xlfn.DROP(_xlpm.results, , _xlpm.n_states))))</definedName>
    <definedName name="cost_row">Sheet1!$C$5:$F$5</definedName>
    <definedName name="dr_cost">Sheet1!$C$15</definedName>
    <definedName name="dr_effect">Sheet1!$C$16</definedName>
    <definedName name="init_row">Sheet1!$C$7:$F$7</definedName>
    <definedName name="time_horizon">Sheet1!$C$17</definedName>
    <definedName name="tp_matrix">Sheet1!$C$10:$F$13</definedName>
    <definedName name="util_row">Sheet1!$C$6:$F$6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 a="1"/>
  <c r="E23" i="1" s="1"/>
  <c r="J23" i="1" s="1"/>
  <c r="H4" i="1" a="1"/>
  <c r="H4" i="1" s="1"/>
  <c r="D23" i="1"/>
  <c r="D24" i="1"/>
  <c r="D25" i="1"/>
  <c r="D26" i="1"/>
  <c r="D27" i="1"/>
  <c r="D28" i="1"/>
  <c r="D29" i="1"/>
  <c r="D30" i="1"/>
  <c r="D31" i="1"/>
  <c r="D32" i="1"/>
  <c r="D22" i="1"/>
  <c r="C23" i="1"/>
  <c r="C24" i="1"/>
  <c r="C25" i="1"/>
  <c r="C26" i="1"/>
  <c r="C27" i="1"/>
  <c r="C28" i="1"/>
  <c r="C29" i="1"/>
  <c r="C30" i="1"/>
  <c r="C31" i="1"/>
  <c r="C32" i="1"/>
  <c r="C22" i="1"/>
  <c r="F22" i="1"/>
  <c r="G22" i="1"/>
  <c r="H22" i="1"/>
  <c r="E22" i="1"/>
  <c r="E12" i="1"/>
  <c r="D11" i="1"/>
  <c r="C10" i="1"/>
  <c r="Q23" i="1" l="1"/>
  <c r="L23" i="1"/>
  <c r="K23" i="1"/>
  <c r="R23" i="1"/>
  <c r="P23" i="1"/>
  <c r="E24" i="1" a="1"/>
  <c r="M23" i="1"/>
  <c r="N23" i="1"/>
  <c r="O23" i="1"/>
  <c r="Q24" i="1" l="1"/>
  <c r="T24" i="1" s="1"/>
  <c r="R24" i="1"/>
  <c r="U24" i="1" s="1"/>
  <c r="S23" i="1"/>
  <c r="U23" i="1"/>
  <c r="T23" i="1"/>
  <c r="E24" i="1"/>
  <c r="P24" i="1" s="1"/>
  <c r="S24" i="1" s="1"/>
  <c r="K24" i="1"/>
  <c r="L24" i="1"/>
  <c r="N24" i="1"/>
  <c r="O24" i="1"/>
  <c r="E25" i="1" l="1" a="1"/>
  <c r="J24" i="1"/>
  <c r="M24" i="1"/>
  <c r="Q25" i="1" l="1"/>
  <c r="R25" i="1"/>
  <c r="E25" i="1"/>
  <c r="K25" i="1"/>
  <c r="L25" i="1"/>
  <c r="N25" i="1"/>
  <c r="O25" i="1"/>
  <c r="J25" i="1" l="1"/>
  <c r="P25" i="1"/>
  <c r="U25" i="1"/>
  <c r="T25" i="1"/>
  <c r="E26" i="1" a="1"/>
  <c r="M25" i="1"/>
  <c r="Q26" i="1" l="1"/>
  <c r="R26" i="1"/>
  <c r="S25" i="1"/>
  <c r="K26" i="1"/>
  <c r="L26" i="1"/>
  <c r="E26" i="1"/>
  <c r="O26" i="1"/>
  <c r="N26" i="1"/>
  <c r="J26" i="1" l="1"/>
  <c r="P26" i="1"/>
  <c r="U26" i="1"/>
  <c r="T26" i="1"/>
  <c r="E27" i="1" a="1"/>
  <c r="M26" i="1"/>
  <c r="Q27" i="1" l="1"/>
  <c r="R27" i="1"/>
  <c r="S26" i="1"/>
  <c r="K27" i="1"/>
  <c r="L27" i="1"/>
  <c r="E27" i="1"/>
  <c r="O27" i="1"/>
  <c r="N27" i="1"/>
  <c r="U27" i="1" l="1"/>
  <c r="T27" i="1"/>
  <c r="J27" i="1"/>
  <c r="P27" i="1"/>
  <c r="E28" i="1" a="1"/>
  <c r="M27" i="1"/>
  <c r="R28" i="1" l="1"/>
  <c r="Q28" i="1"/>
  <c r="S27" i="1"/>
  <c r="K28" i="1"/>
  <c r="L28" i="1"/>
  <c r="O28" i="1" s="1"/>
  <c r="E28" i="1"/>
  <c r="N28" i="1"/>
  <c r="J28" i="1" l="1"/>
  <c r="M28" i="1" s="1"/>
  <c r="P28" i="1"/>
  <c r="S28" i="1" s="1"/>
  <c r="T28" i="1"/>
  <c r="U28" i="1"/>
  <c r="E29" i="1" a="1"/>
  <c r="R29" i="1" l="1"/>
  <c r="U29" i="1" s="1"/>
  <c r="Q29" i="1"/>
  <c r="T29" i="1" s="1"/>
  <c r="K29" i="1"/>
  <c r="N29" i="1" s="1"/>
  <c r="L29" i="1"/>
  <c r="O29" i="1" s="1"/>
  <c r="E29" i="1"/>
  <c r="J29" i="1" l="1"/>
  <c r="P29" i="1"/>
  <c r="S29" i="1" s="1"/>
  <c r="E30" i="1" a="1"/>
  <c r="M29" i="1"/>
  <c r="Q30" i="1" l="1"/>
  <c r="T30" i="1" s="1"/>
  <c r="R30" i="1"/>
  <c r="U30" i="1" s="1"/>
  <c r="L30" i="1"/>
  <c r="O30" i="1" s="1"/>
  <c r="K30" i="1"/>
  <c r="E30" i="1"/>
  <c r="N30" i="1"/>
  <c r="J30" i="1" l="1"/>
  <c r="P30" i="1"/>
  <c r="S30" i="1" s="1"/>
  <c r="E31" i="1" a="1"/>
  <c r="M30" i="1"/>
  <c r="Q31" i="1" l="1"/>
  <c r="T31" i="1" s="1"/>
  <c r="R31" i="1"/>
  <c r="U31" i="1" s="1"/>
  <c r="K31" i="1"/>
  <c r="N31" i="1" s="1"/>
  <c r="L31" i="1"/>
  <c r="O31" i="1" s="1"/>
  <c r="E31" i="1"/>
  <c r="J31" i="1" l="1"/>
  <c r="P31" i="1"/>
  <c r="S31" i="1" s="1"/>
  <c r="E32" i="1" a="1"/>
  <c r="M31" i="1"/>
  <c r="Q32" i="1" l="1"/>
  <c r="R32" i="1"/>
  <c r="K32" i="1"/>
  <c r="L32" i="1"/>
  <c r="E32" i="1"/>
  <c r="J32" i="1" l="1"/>
  <c r="J34" i="1" s="1"/>
  <c r="P32" i="1"/>
  <c r="U32" i="1"/>
  <c r="P34" i="1"/>
  <c r="R33" i="1"/>
  <c r="T32" i="1"/>
  <c r="T33" i="1" s="1"/>
  <c r="Q33" i="1"/>
  <c r="L33" i="1"/>
  <c r="O32" i="1"/>
  <c r="K33" i="1"/>
  <c r="N32" i="1"/>
  <c r="N33" i="1" s="1"/>
  <c r="J33" i="1"/>
  <c r="M32" i="1"/>
  <c r="M33" i="1" s="1"/>
  <c r="U33" i="1" l="1"/>
  <c r="S32" i="1"/>
  <c r="S33" i="1" s="1"/>
  <c r="P33" i="1"/>
  <c r="O33" i="1"/>
  <c r="J35" i="1"/>
  <c r="P35" i="1" l="1"/>
  <c r="C3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<sst xmlns="http://schemas.openxmlformats.org/spreadsheetml/2006/main" count="53" uniqueCount="41">
  <si>
    <t>init_row</t>
  </si>
  <si>
    <t>tp_matrix</t>
  </si>
  <si>
    <t>cost_row</t>
  </si>
  <si>
    <t>util_row</t>
  </si>
  <si>
    <t>Health state 1</t>
  </si>
  <si>
    <t>Health state 2</t>
  </si>
  <si>
    <t>Health state 3</t>
  </si>
  <si>
    <t>Dead</t>
  </si>
  <si>
    <t>Inputs</t>
  </si>
  <si>
    <t>Outputs</t>
  </si>
  <si>
    <t>dr_cost</t>
  </si>
  <si>
    <t>dr_effect</t>
  </si>
  <si>
    <t>time_horizon</t>
  </si>
  <si>
    <t>years</t>
  </si>
  <si>
    <t>Time</t>
  </si>
  <si>
    <t>Costs - HS 1</t>
  </si>
  <si>
    <t>Costs - HS 2</t>
  </si>
  <si>
    <t>Costs - HS 3</t>
  </si>
  <si>
    <t>Total</t>
  </si>
  <si>
    <t>Costs_d_HS1</t>
  </si>
  <si>
    <t>Costs_d_HS2</t>
  </si>
  <si>
    <t>Costs_d_HS3</t>
  </si>
  <si>
    <t>Disc_Factor_costs</t>
  </si>
  <si>
    <t>Disc_Factor_eff</t>
  </si>
  <si>
    <t>---State occupancy---</t>
  </si>
  <si>
    <t>--Undiscounted costs---</t>
  </si>
  <si>
    <t>---Discounted costs---</t>
  </si>
  <si>
    <t>--Undiscounted qalys---</t>
  </si>
  <si>
    <t>---Discounted qalys---</t>
  </si>
  <si>
    <t>Qalys - HS 1</t>
  </si>
  <si>
    <t>Qalys - HS 2</t>
  </si>
  <si>
    <t>Qalys - HS 3</t>
  </si>
  <si>
    <t>Qalys_d_HS1</t>
  </si>
  <si>
    <t>Qalys_d_HS2</t>
  </si>
  <si>
    <t>Qalys_d_HS3</t>
  </si>
  <si>
    <t>Total costs</t>
  </si>
  <si>
    <t>Total cost_d</t>
  </si>
  <si>
    <t>The "old way"</t>
  </si>
  <si>
    <t>Total qalys</t>
  </si>
  <si>
    <t>Total qalys_d</t>
  </si>
  <si>
    <t>Do the results from cohortSTM equal the results from the "old way"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</si>
</sst>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0" fontId="1" fillId="0" borderId="11" xfId="0" applyFont="1" applyBorder="1"/>
    <xf numFmtId="0" fontId="0" fillId="0" borderId="11" xfId="0" applyBorder="1"/>
    <xf numFmtId="164" fontId="0" fillId="5" borderId="5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5" borderId="9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3" fontId="0" fillId="6" borderId="3" xfId="0" applyNumberFormat="1" applyFill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4" fillId="7" borderId="0" xfId="0" applyFont="1" applyFill="1" applyAlignment="1">
      <alignment horizontal="center" wrapText="1"/>
    </xf>
    <xf numFmtId="0" fontId="5" fillId="7" borderId="0" xfId="0" applyFont="1" applyFill="1" applyAlignment="1">
      <alignment wrapText="1"/>
    </xf>
    <xf numFmtId="0" fontId="0" fillId="0" borderId="0" xfId="0" applyAlignment="1">
      <alignment horizontal="centerContinuous"/>
    </xf>
    <xf numFmtId="0" fontId="1" fillId="0" borderId="0" xfId="0" quotePrefix="1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2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1E7192-8D05-4A42-BCB7-5912FFC86891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10237618-A8CE-4784-8E7F-6FDA95CF7BB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1AF3-1B64-42B1-BF97-38F59475EB69}">
  <dimension ref="B2:U37"/>
  <sheetViews>
    <sheetView showGridLines="0" tabSelected="1" workbookViewId="0">
      <selection activeCell="F42" sqref="F42"/>
    </sheetView>
  </sheetViews>
  <sheetFormatPr defaultRowHeight="14.5" x14ac:dyDescent="0.35"/>
  <cols>
    <col min="1" max="1" width="3.81640625" customWidth="1"/>
    <col min="2" max="2" width="17.6328125" customWidth="1"/>
    <col min="3" max="5" width="14.7265625" customWidth="1"/>
    <col min="8" max="10" width="12.08984375" customWidth="1"/>
  </cols>
  <sheetData>
    <row r="2" spans="2:10" x14ac:dyDescent="0.35">
      <c r="B2" s="10" t="s">
        <v>8</v>
      </c>
      <c r="C2" s="11"/>
      <c r="D2" s="11"/>
      <c r="E2" s="11"/>
      <c r="F2" s="11"/>
      <c r="H2" s="10" t="s">
        <v>9</v>
      </c>
      <c r="I2" s="11"/>
      <c r="J2" s="11"/>
    </row>
    <row r="4" spans="2:10" x14ac:dyDescent="0.35">
      <c r="C4" s="1" t="s">
        <v>4</v>
      </c>
      <c r="D4" s="1" t="s">
        <v>5</v>
      </c>
      <c r="E4" s="1" t="s">
        <v>6</v>
      </c>
      <c r="F4" s="1" t="s">
        <v>7</v>
      </c>
      <c r="H4" s="4" t="str" cm="1">
        <f t="array" ref="H4:J5">CohortSTM(init_row, tp_matrix, cost_row, util_row, dr_cost, dr_effect, time_horizon)</f>
        <v>Disc_Cost</v>
      </c>
      <c r="I4" s="5" t="str">
        <v>Disc_QALY</v>
      </c>
      <c r="J4" s="6" t="str">
        <v>Disc_LY</v>
      </c>
    </row>
    <row r="5" spans="2:10" x14ac:dyDescent="0.35">
      <c r="B5" s="2" t="s">
        <v>2</v>
      </c>
      <c r="C5" s="27">
        <v>1000</v>
      </c>
      <c r="D5" s="28">
        <v>1200</v>
      </c>
      <c r="E5" s="28">
        <v>1400</v>
      </c>
      <c r="F5" s="29">
        <v>0</v>
      </c>
      <c r="H5" s="7">
        <v>5678.6848229652333</v>
      </c>
      <c r="I5" s="8">
        <v>3.0408222505678495</v>
      </c>
      <c r="J5" s="9">
        <v>4.7590212983118718</v>
      </c>
    </row>
    <row r="6" spans="2:10" x14ac:dyDescent="0.35">
      <c r="B6" s="2" t="s">
        <v>3</v>
      </c>
      <c r="C6" s="21">
        <v>0.8</v>
      </c>
      <c r="D6" s="22">
        <v>0.6</v>
      </c>
      <c r="E6" s="22">
        <v>0.5</v>
      </c>
      <c r="F6" s="23">
        <v>0</v>
      </c>
    </row>
    <row r="7" spans="2:10" x14ac:dyDescent="0.35">
      <c r="B7" s="2" t="s">
        <v>0</v>
      </c>
      <c r="C7" s="24">
        <v>1</v>
      </c>
      <c r="D7" s="25">
        <v>0</v>
      </c>
      <c r="E7" s="25">
        <v>0</v>
      </c>
      <c r="F7" s="26">
        <v>0</v>
      </c>
    </row>
    <row r="9" spans="2:10" x14ac:dyDescent="0.35">
      <c r="B9" s="2" t="s">
        <v>1</v>
      </c>
      <c r="C9" s="1" t="s">
        <v>4</v>
      </c>
      <c r="D9" s="1" t="s">
        <v>5</v>
      </c>
      <c r="E9" s="1" t="s">
        <v>6</v>
      </c>
      <c r="F9" s="1" t="s">
        <v>7</v>
      </c>
    </row>
    <row r="10" spans="2:10" x14ac:dyDescent="0.35">
      <c r="B10" s="3" t="s">
        <v>4</v>
      </c>
      <c r="C10" s="12">
        <f>1-SUM(D10:$F10)</f>
        <v>0.64999999999999991</v>
      </c>
      <c r="D10" s="13">
        <v>0.2</v>
      </c>
      <c r="E10" s="13">
        <v>0.1</v>
      </c>
      <c r="F10" s="14">
        <v>0.05</v>
      </c>
    </row>
    <row r="11" spans="2:10" x14ac:dyDescent="0.35">
      <c r="B11" s="3" t="s">
        <v>5</v>
      </c>
      <c r="C11" s="15">
        <v>0</v>
      </c>
      <c r="D11" s="16">
        <f>1-SUM(E11:$F11)</f>
        <v>0.7</v>
      </c>
      <c r="E11" s="16">
        <v>0.2</v>
      </c>
      <c r="F11" s="17">
        <v>0.1</v>
      </c>
    </row>
    <row r="12" spans="2:10" x14ac:dyDescent="0.35">
      <c r="B12" s="3" t="s">
        <v>6</v>
      </c>
      <c r="C12" s="15">
        <v>0</v>
      </c>
      <c r="D12" s="16">
        <v>0</v>
      </c>
      <c r="E12" s="16">
        <f>1-SUM(F12:$F12)</f>
        <v>0.7</v>
      </c>
      <c r="F12" s="17">
        <v>0.3</v>
      </c>
    </row>
    <row r="13" spans="2:10" x14ac:dyDescent="0.35">
      <c r="B13" s="3" t="s">
        <v>7</v>
      </c>
      <c r="C13" s="18">
        <v>0</v>
      </c>
      <c r="D13" s="19">
        <v>0</v>
      </c>
      <c r="E13" s="19">
        <v>0</v>
      </c>
      <c r="F13" s="20">
        <v>1</v>
      </c>
    </row>
    <row r="15" spans="2:10" x14ac:dyDescent="0.35">
      <c r="B15" s="2" t="s">
        <v>10</v>
      </c>
      <c r="C15" s="30">
        <v>0.03</v>
      </c>
    </row>
    <row r="16" spans="2:10" x14ac:dyDescent="0.35">
      <c r="B16" s="2" t="s">
        <v>11</v>
      </c>
      <c r="C16" s="30">
        <v>0.03</v>
      </c>
    </row>
    <row r="17" spans="2:21" x14ac:dyDescent="0.35">
      <c r="B17" s="2" t="s">
        <v>12</v>
      </c>
      <c r="C17" s="31">
        <v>10</v>
      </c>
      <c r="D17" t="s">
        <v>13</v>
      </c>
    </row>
    <row r="19" spans="2:21" x14ac:dyDescent="0.35">
      <c r="B19" s="10" t="s">
        <v>37</v>
      </c>
      <c r="C19" s="11"/>
      <c r="D19" s="11"/>
      <c r="E19" s="11"/>
      <c r="F19" s="11"/>
    </row>
    <row r="20" spans="2:21" x14ac:dyDescent="0.35">
      <c r="E20" s="38" t="s">
        <v>24</v>
      </c>
      <c r="F20" s="37"/>
      <c r="G20" s="37"/>
      <c r="H20" s="37"/>
      <c r="J20" s="38" t="s">
        <v>25</v>
      </c>
      <c r="K20" s="39"/>
      <c r="L20" s="39"/>
      <c r="M20" s="38" t="s">
        <v>26</v>
      </c>
      <c r="N20" s="39"/>
      <c r="O20" s="39"/>
      <c r="P20" s="38" t="s">
        <v>27</v>
      </c>
      <c r="Q20" s="39"/>
      <c r="R20" s="39"/>
      <c r="S20" s="38" t="s">
        <v>28</v>
      </c>
      <c r="T20" s="39"/>
      <c r="U20" s="39"/>
    </row>
    <row r="21" spans="2:21" s="34" customFormat="1" ht="29" x14ac:dyDescent="0.35">
      <c r="B21" s="35" t="s">
        <v>14</v>
      </c>
      <c r="C21" s="35" t="s">
        <v>22</v>
      </c>
      <c r="D21" s="35" t="s">
        <v>23</v>
      </c>
      <c r="E21" s="35" t="s">
        <v>4</v>
      </c>
      <c r="F21" s="35" t="s">
        <v>5</v>
      </c>
      <c r="G21" s="35" t="s">
        <v>6</v>
      </c>
      <c r="H21" s="35" t="s">
        <v>7</v>
      </c>
      <c r="I21" s="36"/>
      <c r="J21" s="35" t="s">
        <v>15</v>
      </c>
      <c r="K21" s="35" t="s">
        <v>16</v>
      </c>
      <c r="L21" s="35" t="s">
        <v>17</v>
      </c>
      <c r="M21" s="35" t="s">
        <v>19</v>
      </c>
      <c r="N21" s="35" t="s">
        <v>20</v>
      </c>
      <c r="O21" s="35" t="s">
        <v>21</v>
      </c>
      <c r="P21" s="35" t="s">
        <v>29</v>
      </c>
      <c r="Q21" s="35" t="s">
        <v>30</v>
      </c>
      <c r="R21" s="35" t="s">
        <v>31</v>
      </c>
      <c r="S21" s="35" t="s">
        <v>32</v>
      </c>
      <c r="T21" s="35" t="s">
        <v>33</v>
      </c>
      <c r="U21" s="35" t="s">
        <v>34</v>
      </c>
    </row>
    <row r="22" spans="2:21" x14ac:dyDescent="0.35">
      <c r="B22">
        <v>0</v>
      </c>
      <c r="C22">
        <f>1/(1+dr_cost)^B22</f>
        <v>1</v>
      </c>
      <c r="D22">
        <f>1/(1+dr_effect)^B22</f>
        <v>1</v>
      </c>
      <c r="E22" s="32">
        <f>C7</f>
        <v>1</v>
      </c>
      <c r="F22" s="32">
        <f>D7</f>
        <v>0</v>
      </c>
      <c r="G22" s="32">
        <f>E7</f>
        <v>0</v>
      </c>
      <c r="H22" s="32">
        <f>F7</f>
        <v>0</v>
      </c>
      <c r="J22" s="33"/>
      <c r="K22" s="33"/>
      <c r="L22" s="33"/>
    </row>
    <row r="23" spans="2:21" x14ac:dyDescent="0.35">
      <c r="B23">
        <v>1</v>
      </c>
      <c r="C23" s="32">
        <f>1/(1+dr_cost)^B23</f>
        <v>0.970873786407767</v>
      </c>
      <c r="D23" s="32">
        <f>1/(1+dr_effect)^B23</f>
        <v>0.970873786407767</v>
      </c>
      <c r="E23" s="32" cm="1">
        <f t="array" ref="E23:H23">MMULT(E22:H22,tp_matrix)</f>
        <v>0.64999999999999991</v>
      </c>
      <c r="F23" s="32">
        <v>0.2</v>
      </c>
      <c r="G23" s="32">
        <v>0.1</v>
      </c>
      <c r="H23" s="32">
        <v>0.05</v>
      </c>
      <c r="J23" s="33">
        <f>E23*C$5</f>
        <v>649.99999999999989</v>
      </c>
      <c r="K23" s="33">
        <f t="shared" ref="K23:L23" si="0">F23*D$5</f>
        <v>240</v>
      </c>
      <c r="L23" s="33">
        <f t="shared" si="0"/>
        <v>140</v>
      </c>
      <c r="M23" s="33">
        <f>J23*$C23</f>
        <v>631.06796116504847</v>
      </c>
      <c r="N23" s="33">
        <f t="shared" ref="N23:O23" si="1">K23*$C23</f>
        <v>233.00970873786409</v>
      </c>
      <c r="O23" s="33">
        <f t="shared" si="1"/>
        <v>135.92233009708738</v>
      </c>
      <c r="P23" s="32">
        <f>E23*C$6</f>
        <v>0.51999999999999991</v>
      </c>
      <c r="Q23" s="32">
        <f t="shared" ref="Q23:R23" si="2">F23*D$6</f>
        <v>0.12</v>
      </c>
      <c r="R23" s="32">
        <f t="shared" si="2"/>
        <v>0.05</v>
      </c>
      <c r="S23" s="32">
        <f>P23*$D23</f>
        <v>0.50485436893203872</v>
      </c>
      <c r="T23" s="32">
        <f t="shared" ref="T23:U23" si="3">Q23*$D23</f>
        <v>0.11650485436893204</v>
      </c>
      <c r="U23" s="32">
        <f t="shared" si="3"/>
        <v>4.8543689320388356E-2</v>
      </c>
    </row>
    <row r="24" spans="2:21" x14ac:dyDescent="0.35">
      <c r="B24">
        <v>2</v>
      </c>
      <c r="C24" s="32">
        <f>1/(1+dr_cost)^B24</f>
        <v>0.94259590913375435</v>
      </c>
      <c r="D24" s="32">
        <f>1/(1+dr_effect)^B24</f>
        <v>0.94259590913375435</v>
      </c>
      <c r="E24" s="32" cm="1">
        <f t="array" ref="E24:H24">MMULT(E23:H23,tp_matrix)</f>
        <v>0.42249999999999988</v>
      </c>
      <c r="F24" s="32">
        <v>0.26999999999999996</v>
      </c>
      <c r="G24" s="32">
        <v>0.17499999999999999</v>
      </c>
      <c r="H24" s="32">
        <v>0.13250000000000001</v>
      </c>
      <c r="J24" s="33">
        <f t="shared" ref="J24:J32" si="4">E24*C$5</f>
        <v>422.49999999999989</v>
      </c>
      <c r="K24" s="33">
        <f t="shared" ref="K24:K32" si="5">F24*D$5</f>
        <v>323.99999999999994</v>
      </c>
      <c r="L24" s="33">
        <f t="shared" ref="L24:L32" si="6">G24*E$5</f>
        <v>244.99999999999997</v>
      </c>
      <c r="M24" s="33">
        <f t="shared" ref="M24:M32" si="7">J24*$C24</f>
        <v>398.24677160901109</v>
      </c>
      <c r="N24" s="33">
        <f t="shared" ref="N24:N32" si="8">K24*$C24</f>
        <v>305.40107455933634</v>
      </c>
      <c r="O24" s="33">
        <f t="shared" ref="O24:O32" si="9">L24*$C24</f>
        <v>230.93599773776978</v>
      </c>
      <c r="P24" s="32">
        <f>E24*C$6</f>
        <v>0.33799999999999991</v>
      </c>
      <c r="Q24" s="32">
        <f>F24*D$6</f>
        <v>0.16199999999999998</v>
      </c>
      <c r="R24" s="32">
        <f t="shared" ref="R24:R32" si="10">G24*E$6</f>
        <v>8.7499999999999994E-2</v>
      </c>
      <c r="S24" s="32">
        <f t="shared" ref="S24:S32" si="11">P24*$D24</f>
        <v>0.31859741728720886</v>
      </c>
      <c r="T24" s="32">
        <f t="shared" ref="T24:T32" si="12">Q24*$D24</f>
        <v>0.15270053727966817</v>
      </c>
      <c r="U24" s="32">
        <f t="shared" ref="U24:U32" si="13">R24*$D24</f>
        <v>8.2477142049203506E-2</v>
      </c>
    </row>
    <row r="25" spans="2:21" x14ac:dyDescent="0.35">
      <c r="B25">
        <v>3</v>
      </c>
      <c r="C25" s="32">
        <f>1/(1+dr_cost)^B25</f>
        <v>0.91514165935315961</v>
      </c>
      <c r="D25" s="32">
        <f>1/(1+dr_effect)^B25</f>
        <v>0.91514165935315961</v>
      </c>
      <c r="E25" s="32" cm="1">
        <f t="array" ref="E25:H25">MMULT(E24:H24,tp_matrix)</f>
        <v>0.2746249999999999</v>
      </c>
      <c r="F25" s="32">
        <v>0.27349999999999997</v>
      </c>
      <c r="G25" s="32">
        <v>0.21874999999999994</v>
      </c>
      <c r="H25" s="32">
        <v>0.233125</v>
      </c>
      <c r="J25" s="33">
        <f t="shared" si="4"/>
        <v>274.62499999999989</v>
      </c>
      <c r="K25" s="33">
        <f t="shared" si="5"/>
        <v>328.19999999999993</v>
      </c>
      <c r="L25" s="33">
        <f t="shared" si="6"/>
        <v>306.24999999999994</v>
      </c>
      <c r="M25" s="33">
        <f t="shared" si="7"/>
        <v>251.32077819986137</v>
      </c>
      <c r="N25" s="33">
        <f t="shared" si="8"/>
        <v>300.34949259970693</v>
      </c>
      <c r="O25" s="33">
        <f t="shared" si="9"/>
        <v>280.26213317690508</v>
      </c>
      <c r="P25" s="32">
        <f t="shared" ref="P24:P32" si="14">E25*C$6</f>
        <v>0.21969999999999992</v>
      </c>
      <c r="Q25" s="32">
        <f t="shared" ref="Q24:Q32" si="15">F25*D$6</f>
        <v>0.16409999999999997</v>
      </c>
      <c r="R25" s="32">
        <f t="shared" si="10"/>
        <v>0.10937499999999997</v>
      </c>
      <c r="S25" s="32">
        <f t="shared" si="11"/>
        <v>0.2010566225598891</v>
      </c>
      <c r="T25" s="32">
        <f t="shared" si="12"/>
        <v>0.15017474629985347</v>
      </c>
      <c r="U25" s="32">
        <f t="shared" si="13"/>
        <v>0.1000936189917518</v>
      </c>
    </row>
    <row r="26" spans="2:21" x14ac:dyDescent="0.35">
      <c r="B26">
        <v>4</v>
      </c>
      <c r="C26" s="32">
        <f>1/(1+dr_cost)^B26</f>
        <v>0.888487047915689</v>
      </c>
      <c r="D26" s="32">
        <f>1/(1+dr_effect)^B26</f>
        <v>0.888487047915689</v>
      </c>
      <c r="E26" s="32" cm="1">
        <f t="array" ref="E26:H26">MMULT(E25:H25,tp_matrix)</f>
        <v>0.17850624999999992</v>
      </c>
      <c r="F26" s="32">
        <v>0.24637499999999993</v>
      </c>
      <c r="G26" s="32">
        <v>0.23528749999999993</v>
      </c>
      <c r="H26" s="32">
        <v>0.33983124999999997</v>
      </c>
      <c r="J26" s="33">
        <f t="shared" si="4"/>
        <v>178.50624999999991</v>
      </c>
      <c r="K26" s="33">
        <f t="shared" si="5"/>
        <v>295.64999999999992</v>
      </c>
      <c r="L26" s="33">
        <f t="shared" si="6"/>
        <v>329.40249999999992</v>
      </c>
      <c r="M26" s="33">
        <f t="shared" si="7"/>
        <v>158.60049109699989</v>
      </c>
      <c r="N26" s="33">
        <f t="shared" si="8"/>
        <v>262.68119571627341</v>
      </c>
      <c r="O26" s="33">
        <f t="shared" si="9"/>
        <v>292.66985480104768</v>
      </c>
      <c r="P26" s="32">
        <f t="shared" si="14"/>
        <v>0.14280499999999993</v>
      </c>
      <c r="Q26" s="32">
        <f t="shared" si="15"/>
        <v>0.14782499999999996</v>
      </c>
      <c r="R26" s="32">
        <f t="shared" si="10"/>
        <v>0.11764374999999996</v>
      </c>
      <c r="S26" s="32">
        <f t="shared" si="11"/>
        <v>0.12688039287759992</v>
      </c>
      <c r="T26" s="32">
        <f t="shared" si="12"/>
        <v>0.13134059785813668</v>
      </c>
      <c r="U26" s="32">
        <f t="shared" si="13"/>
        <v>0.10452494814323131</v>
      </c>
    </row>
    <row r="27" spans="2:21" x14ac:dyDescent="0.35">
      <c r="B27">
        <v>5</v>
      </c>
      <c r="C27" s="32">
        <f>1/(1+dr_cost)^B27</f>
        <v>0.86260878438416411</v>
      </c>
      <c r="D27" s="32">
        <f>1/(1+dr_effect)^B27</f>
        <v>0.86260878438416411</v>
      </c>
      <c r="E27" s="32" cm="1">
        <f t="array" ref="E27:H27">MMULT(E26:H26,tp_matrix)</f>
        <v>0.11602906249999993</v>
      </c>
      <c r="F27" s="32">
        <v>0.20816374999999993</v>
      </c>
      <c r="G27" s="32">
        <v>0.23182687499999993</v>
      </c>
      <c r="H27" s="32">
        <v>0.44398031249999992</v>
      </c>
      <c r="J27" s="33">
        <f t="shared" si="4"/>
        <v>116.02906249999994</v>
      </c>
      <c r="K27" s="33">
        <f t="shared" si="5"/>
        <v>249.79649999999992</v>
      </c>
      <c r="L27" s="33">
        <f t="shared" si="6"/>
        <v>324.55762499999992</v>
      </c>
      <c r="M27" s="33">
        <f t="shared" si="7"/>
        <v>100.08768855635915</v>
      </c>
      <c r="N27" s="33">
        <f t="shared" si="8"/>
        <v>215.47665520841878</v>
      </c>
      <c r="O27" s="33">
        <f t="shared" si="9"/>
        <v>279.9662583638613</v>
      </c>
      <c r="P27" s="32">
        <f t="shared" si="14"/>
        <v>9.2823249999999954E-2</v>
      </c>
      <c r="Q27" s="32">
        <f t="shared" si="15"/>
        <v>0.12489824999999995</v>
      </c>
      <c r="R27" s="32">
        <f t="shared" si="10"/>
        <v>0.11591343749999997</v>
      </c>
      <c r="S27" s="32">
        <f t="shared" si="11"/>
        <v>8.0070150845087326E-2</v>
      </c>
      <c r="T27" s="32">
        <f t="shared" si="12"/>
        <v>0.10773832760420937</v>
      </c>
      <c r="U27" s="32">
        <f t="shared" si="13"/>
        <v>9.9987949415664759E-2</v>
      </c>
    </row>
    <row r="28" spans="2:21" x14ac:dyDescent="0.35">
      <c r="B28">
        <v>6</v>
      </c>
      <c r="C28" s="32">
        <f>1/(1+dr_cost)^B28</f>
        <v>0.83748425668365445</v>
      </c>
      <c r="D28" s="32">
        <f>1/(1+dr_effect)^B28</f>
        <v>0.83748425668365445</v>
      </c>
      <c r="E28" s="32" cm="1">
        <f t="array" ref="E28:H28">MMULT(E27:H27,tp_matrix)</f>
        <v>7.5418890624999943E-2</v>
      </c>
      <c r="F28" s="32">
        <v>0.16892043749999991</v>
      </c>
      <c r="G28" s="32">
        <v>0.21551446874999994</v>
      </c>
      <c r="H28" s="32">
        <v>0.54014620312499995</v>
      </c>
      <c r="J28" s="33">
        <f t="shared" si="4"/>
        <v>75.418890624999946</v>
      </c>
      <c r="K28" s="33">
        <f t="shared" si="5"/>
        <v>202.7045249999999</v>
      </c>
      <c r="L28" s="33">
        <f t="shared" si="6"/>
        <v>301.72025624999992</v>
      </c>
      <c r="M28" s="33">
        <f t="shared" si="7"/>
        <v>63.162133554983917</v>
      </c>
      <c r="N28" s="33">
        <f t="shared" si="8"/>
        <v>169.76184844603816</v>
      </c>
      <c r="O28" s="33">
        <f t="shared" si="9"/>
        <v>252.68596453193294</v>
      </c>
      <c r="P28" s="32">
        <f t="shared" si="14"/>
        <v>6.0335112499999954E-2</v>
      </c>
      <c r="Q28" s="32">
        <f t="shared" si="15"/>
        <v>0.10135226249999994</v>
      </c>
      <c r="R28" s="32">
        <f t="shared" si="10"/>
        <v>0.10775723437499997</v>
      </c>
      <c r="S28" s="32">
        <f t="shared" si="11"/>
        <v>5.0529706843987131E-2</v>
      </c>
      <c r="T28" s="32">
        <f t="shared" si="12"/>
        <v>8.4880924223019072E-2</v>
      </c>
      <c r="U28" s="32">
        <f t="shared" si="13"/>
        <v>9.024498733283319E-2</v>
      </c>
    </row>
    <row r="29" spans="2:21" x14ac:dyDescent="0.35">
      <c r="B29">
        <v>7</v>
      </c>
      <c r="C29" s="32">
        <f>1/(1+dr_cost)^B29</f>
        <v>0.81309151134335378</v>
      </c>
      <c r="D29" s="32">
        <f>1/(1+dr_effect)^B29</f>
        <v>0.81309151134335378</v>
      </c>
      <c r="E29" s="32" cm="1">
        <f t="array" ref="E29:H29">MMULT(E28:H28,tp_matrix)</f>
        <v>4.9022278906249959E-2</v>
      </c>
      <c r="F29" s="32">
        <v>0.13332808437499993</v>
      </c>
      <c r="G29" s="32">
        <v>0.19218610468749991</v>
      </c>
      <c r="H29" s="32">
        <v>0.62546353203124994</v>
      </c>
      <c r="J29" s="33">
        <f t="shared" si="4"/>
        <v>49.022278906249959</v>
      </c>
      <c r="K29" s="33">
        <f t="shared" si="5"/>
        <v>159.99370124999993</v>
      </c>
      <c r="L29" s="33">
        <f t="shared" si="6"/>
        <v>269.06054656249989</v>
      </c>
      <c r="M29" s="33">
        <f t="shared" si="7"/>
        <v>39.859598845378194</v>
      </c>
      <c r="N29" s="33">
        <f t="shared" si="8"/>
        <v>130.08952035477947</v>
      </c>
      <c r="O29" s="33">
        <f t="shared" si="9"/>
        <v>218.77084644737184</v>
      </c>
      <c r="P29" s="32">
        <f t="shared" si="14"/>
        <v>3.9217823124999968E-2</v>
      </c>
      <c r="Q29" s="32">
        <f t="shared" si="15"/>
        <v>7.9996850624999963E-2</v>
      </c>
      <c r="R29" s="32">
        <f t="shared" si="10"/>
        <v>9.6093052343749957E-2</v>
      </c>
      <c r="S29" s="32">
        <f t="shared" si="11"/>
        <v>3.1887679076302557E-2</v>
      </c>
      <c r="T29" s="32">
        <f t="shared" si="12"/>
        <v>6.5044760177389735E-2</v>
      </c>
      <c r="U29" s="32">
        <f t="shared" si="13"/>
        <v>7.813244515977566E-2</v>
      </c>
    </row>
    <row r="30" spans="2:21" x14ac:dyDescent="0.35">
      <c r="B30">
        <v>8</v>
      </c>
      <c r="C30" s="32">
        <f>1/(1+dr_cost)^B30</f>
        <v>0.78940923431393573</v>
      </c>
      <c r="D30" s="32">
        <f>1/(1+dr_effect)^B30</f>
        <v>0.78940923431393573</v>
      </c>
      <c r="E30" s="32" cm="1">
        <f t="array" ref="E30:H30">MMULT(E29:H29,tp_matrix)</f>
        <v>3.1864481289062468E-2</v>
      </c>
      <c r="F30" s="32">
        <v>0.10313411484374993</v>
      </c>
      <c r="G30" s="32">
        <v>0.16609811804687491</v>
      </c>
      <c r="H30" s="32">
        <v>0.69890328582031236</v>
      </c>
      <c r="J30" s="33">
        <f t="shared" si="4"/>
        <v>31.864481289062468</v>
      </c>
      <c r="K30" s="33">
        <f t="shared" si="5"/>
        <v>123.76093781249992</v>
      </c>
      <c r="L30" s="33">
        <f t="shared" si="6"/>
        <v>232.53736526562489</v>
      </c>
      <c r="M30" s="33">
        <f t="shared" si="7"/>
        <v>25.154115776209533</v>
      </c>
      <c r="N30" s="33">
        <f t="shared" si="8"/>
        <v>97.698027156540178</v>
      </c>
      <c r="O30" s="33">
        <f t="shared" si="9"/>
        <v>183.56714346371695</v>
      </c>
      <c r="P30" s="32">
        <f t="shared" si="14"/>
        <v>2.5491585031249975E-2</v>
      </c>
      <c r="Q30" s="32">
        <f t="shared" si="15"/>
        <v>6.1880468906249958E-2</v>
      </c>
      <c r="R30" s="32">
        <f t="shared" si="10"/>
        <v>8.3049059023437455E-2</v>
      </c>
      <c r="S30" s="32">
        <f t="shared" si="11"/>
        <v>2.0123292620967629E-2</v>
      </c>
      <c r="T30" s="32">
        <f t="shared" si="12"/>
        <v>4.8849013578270088E-2</v>
      </c>
      <c r="U30" s="32">
        <f t="shared" si="13"/>
        <v>6.555969409418462E-2</v>
      </c>
    </row>
    <row r="31" spans="2:21" x14ac:dyDescent="0.35">
      <c r="B31">
        <v>9</v>
      </c>
      <c r="C31" s="32">
        <f>1/(1+dr_cost)^B31</f>
        <v>0.76641673234362695</v>
      </c>
      <c r="D31" s="32">
        <f>1/(1+dr_effect)^B31</f>
        <v>0.76641673234362695</v>
      </c>
      <c r="E31" s="32" cm="1">
        <f t="array" ref="E31:H31">MMULT(E30:H30,tp_matrix)</f>
        <v>2.0711912837890603E-2</v>
      </c>
      <c r="F31" s="32">
        <v>7.8566776648437447E-2</v>
      </c>
      <c r="G31" s="32">
        <v>0.14008195373046867</v>
      </c>
      <c r="H31" s="32">
        <v>0.76063935678320294</v>
      </c>
      <c r="J31" s="33">
        <f t="shared" si="4"/>
        <v>20.711912837890605</v>
      </c>
      <c r="K31" s="33">
        <f t="shared" si="5"/>
        <v>94.280131978124942</v>
      </c>
      <c r="L31" s="33">
        <f t="shared" si="6"/>
        <v>196.11473522265612</v>
      </c>
      <c r="M31" s="33">
        <f t="shared" si="7"/>
        <v>15.873956557802135</v>
      </c>
      <c r="N31" s="33">
        <f t="shared" si="8"/>
        <v>72.257870675600401</v>
      </c>
      <c r="O31" s="33">
        <f t="shared" si="9"/>
        <v>150.30561453378371</v>
      </c>
      <c r="P31" s="32">
        <f t="shared" si="14"/>
        <v>1.6569530270312483E-2</v>
      </c>
      <c r="Q31" s="32">
        <f t="shared" si="15"/>
        <v>4.7140065989062466E-2</v>
      </c>
      <c r="R31" s="32">
        <f t="shared" si="10"/>
        <v>7.0040976865234333E-2</v>
      </c>
      <c r="S31" s="32">
        <f t="shared" si="11"/>
        <v>1.2699165246241708E-2</v>
      </c>
      <c r="T31" s="32">
        <f t="shared" si="12"/>
        <v>3.6128935337800198E-2</v>
      </c>
      <c r="U31" s="32">
        <f t="shared" si="13"/>
        <v>5.368057661920847E-2</v>
      </c>
    </row>
    <row r="32" spans="2:21" x14ac:dyDescent="0.35">
      <c r="B32">
        <v>10</v>
      </c>
      <c r="C32" s="32">
        <f>1/(1+dr_cost)^B32</f>
        <v>0.74409391489672516</v>
      </c>
      <c r="D32" s="32">
        <f>1/(1+dr_effect)^B32</f>
        <v>0.74409391489672516</v>
      </c>
      <c r="E32" s="32" cm="1">
        <f t="array" ref="E32:H32">MMULT(E31:H31,tp_matrix)</f>
        <v>1.3462743344628891E-2</v>
      </c>
      <c r="F32" s="32">
        <v>5.9139126221484331E-2</v>
      </c>
      <c r="G32" s="32">
        <v>0.11584191422480461</v>
      </c>
      <c r="H32" s="32">
        <v>0.8115562162090818</v>
      </c>
      <c r="J32" s="33">
        <f t="shared" si="4"/>
        <v>13.46274334462889</v>
      </c>
      <c r="K32" s="33">
        <f t="shared" si="5"/>
        <v>70.966951465781193</v>
      </c>
      <c r="L32" s="33">
        <f t="shared" si="6"/>
        <v>162.17867991472644</v>
      </c>
      <c r="M32" s="33">
        <f t="shared" si="7"/>
        <v>10.017545400554743</v>
      </c>
      <c r="N32" s="33">
        <f t="shared" si="8"/>
        <v>52.806076744459013</v>
      </c>
      <c r="O32" s="33">
        <f t="shared" si="9"/>
        <v>120.6761688505317</v>
      </c>
      <c r="P32" s="32">
        <f t="shared" si="14"/>
        <v>1.0770194675703114E-2</v>
      </c>
      <c r="Q32" s="32">
        <f t="shared" si="15"/>
        <v>3.5483475732890596E-2</v>
      </c>
      <c r="R32" s="32">
        <f t="shared" si="10"/>
        <v>5.7920957112402305E-2</v>
      </c>
      <c r="S32" s="32">
        <f t="shared" si="11"/>
        <v>8.0140363204437952E-3</v>
      </c>
      <c r="T32" s="32">
        <f t="shared" si="12"/>
        <v>2.6403038372229508E-2</v>
      </c>
      <c r="U32" s="32">
        <f t="shared" si="13"/>
        <v>4.3098631732332748E-2</v>
      </c>
    </row>
    <row r="33" spans="2:21" x14ac:dyDescent="0.35">
      <c r="I33" s="40" t="s">
        <v>18</v>
      </c>
      <c r="J33" s="41">
        <f>SUM(J22:J32)</f>
        <v>1832.1406195028314</v>
      </c>
      <c r="K33" s="41">
        <f t="shared" ref="K33:L33" si="16">SUM(K22:K32)</f>
        <v>2089.3527475064056</v>
      </c>
      <c r="L33" s="41">
        <f t="shared" si="16"/>
        <v>2506.821708215507</v>
      </c>
      <c r="M33" s="41">
        <f t="shared" ref="M33" si="17">SUM(M22:M32)</f>
        <v>1693.3910407622086</v>
      </c>
      <c r="N33" s="41">
        <f t="shared" ref="N33" si="18">SUM(N22:N32)</f>
        <v>1839.5314701990167</v>
      </c>
      <c r="O33" s="41">
        <f t="shared" ref="O33" si="19">SUM(O22:O32)</f>
        <v>2145.7623120040084</v>
      </c>
      <c r="P33" s="41">
        <f>SUM(P22:P32)</f>
        <v>1.4657124956022651</v>
      </c>
      <c r="Q33" s="41">
        <f t="shared" ref="Q33" si="20">SUM(Q22:Q32)</f>
        <v>1.0446763737532028</v>
      </c>
      <c r="R33" s="41">
        <f t="shared" ref="R33" si="21">SUM(R22:R32)</f>
        <v>0.89529346721982395</v>
      </c>
      <c r="S33" s="41">
        <f t="shared" ref="S33" si="22">SUM(S22:S32)</f>
        <v>1.3547128326097668</v>
      </c>
      <c r="T33" s="41">
        <f t="shared" ref="T33" si="23">SUM(T22:T32)</f>
        <v>0.91976573509950832</v>
      </c>
      <c r="U33" s="41">
        <f t="shared" ref="U33" si="24">SUM(U22:U32)</f>
        <v>0.76634368285857435</v>
      </c>
    </row>
    <row r="34" spans="2:21" x14ac:dyDescent="0.35">
      <c r="I34" s="40" t="s">
        <v>35</v>
      </c>
      <c r="J34" s="41">
        <f>SUM(J23:L32)</f>
        <v>6428.315075224742</v>
      </c>
      <c r="O34" s="40" t="s">
        <v>38</v>
      </c>
      <c r="P34" s="42">
        <f>SUM(P23:R32)</f>
        <v>3.4056823365752917</v>
      </c>
    </row>
    <row r="35" spans="2:21" x14ac:dyDescent="0.35">
      <c r="I35" s="40" t="s">
        <v>36</v>
      </c>
      <c r="J35" s="41">
        <f>SUM(M23:O32)</f>
        <v>5678.684822965236</v>
      </c>
      <c r="O35" s="40" t="s">
        <v>39</v>
      </c>
      <c r="P35" s="42">
        <f>SUM(S23:U32)</f>
        <v>3.040822250567849</v>
      </c>
    </row>
    <row r="37" spans="2:21" ht="58" x14ac:dyDescent="0.35">
      <c r="B37" s="43" t="s">
        <v>40</v>
      </c>
      <c r="C37" s="44" t="str">
        <f>IF(AND(ROUND(H5,6)=ROUND(J35,6),ROUND(I5,6)=ROUND(P35,6)),"Yes","No")</f>
        <v>Yes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QwBvAGgAbwByAHQAUwBUAE0AIAA9ACAATABBAE0AQgBEAEEAKABcAG4AIAAgACAAIABpAG4AaQB0AGkAYQBsAF8AcwB0AGEAdABlACwAXABuACAAIAAgACAAdAByAGEAbgBzAGkAdABpAG8AbgBfAG0AYQB0AHIAaQB4ACwAXABuACAAIAAgACAAcwB0AGEAdABlAF8AYwBvAHMAdABzACwAXABuACAAIAAgACAAcwB0AGEAdABlAF8AdQB0AGkAbABzACwAXABuACAAIAAgACAAYwBvAHMAdABfAHIAYQB0AGUALABcAG4AIAAgACAAIABlAGYAZgBlAGMAdABfAHIAYQB0AGUALABcAG4AIAAgACAAIABuAF8AYwB5AGMAbABlAHMALABcAG4AIAAgACAAIABMAEUAVAAoAFwAbgAgACAAIAAgACAAIAAgACAAbgBfAHMAdABhAHQAZQBzACwAIABDAE8ATABVAE0ATgBTACgAaQBuAGkAdABpAGEAbABfAHMAdABhAHQAZQApACwAXABuACAAIAAgACAAIAAgACAAIABhAGwAaQB2AGUAXwB2AGUAYwB0AG8AcgAsACAALQAtACgAcwB0AGEAdABlAF8AdQB0AGkAbABzACAAPgAgADAAKQAsAFwAbgAgACAAIAAgACAAIAAgACAAcgBlAHMAdQBsAHQAcwAsACAAUgBFAEQAVQBDAEUAKABcAG4AIAAgACAAIAAgACAAIAAgACAAIAAgACAASABTAFQAQQBDAEsAKABpAG4AaQB0AGkAYQBsAF8AcwB0AGEAdABlACwAIAAwACwAIAAwACwAIAAwACkALABcAG4AIAAgACAAIAAgACAAIAAgACAAIAAgACAAUwBFAFEAVQBFAE4AQwBFACgAbgBfAGMAeQBjAGwAZQBzACkALABcAG4AIAAgACAAIAAgACAAIAAgACAAIAAgACAATABBAE0AQgBEAEEAKABhAGMAYwB1AG0AdQBsAGEAdABvAHIALAAgAGMAeQBjAGwAZQAsAFwAbgAgACAAIAAgACAAIAAgACAAIAAgACAAIAAgACAAIAAgAEwARQBUACgAXABuACAAIAAgACAAIAAgACAAIAAgACAAIAAgACAAIAAgACAAIAAgACAAIABjAHUAcgByAGUAbgB0AF8AcwB0AGEAdABlACwAIABUAEEASwBFACgAYQBjAGMAdQBtAHUAbABhAHQAbwByACwAIAAsACAAbgBfAHMAdABhAHQAZQBzACkALABcAG4AIAAgACAAIAAgACAAIAAgACAAIAAgACAAIAAgACAAIAAgACAAIAAgAG4AZQB4AHQAXwBzAHQAYQB0AGUALAAgAE0ATQBVAEwAVAAoAGMAdQByAHIAZQBuAHQAXwBzAHQAYQB0AGUALAAgAHQAcgBhAG4AcwBpAHQAaQBvAG4AXwBtAGEAdAByAGkAeAApACwAXABuACAAIAAgACAAIAAgACAAIAAgACAAIAAgACAAIAAgACAAIAAgACAAIABjAHkAYwBsAGUAXwBjAG8AcwB0ACwAIABTAFUATQBQAFIATwBEAFUAQwBUACgAbgBlAHgAdABfAHMAdABhAHQAZQAsACAAcwB0AGEAdABlAF8AYwBvAHMAdABzACkAIAAvACAAKAAxACAAKwAgAGMAbwBzAHQAXwByAGEAdABlACkAIABeACAAYwB5AGMAbABlACwAXABuACAAIAAgACAAIAAgACAAIAAgACAAIAAgACAAIAAgACAAIAAgACAAIABjAHkAYwBsAGUAXwBxAGEAbAB5ACwAIABTAFUATQBQAFIATwBEAFUAQwBUACgAbgBlAHgAdABfAHMAdABhAHQAZQAsACAAcwB0AGEAdABlAF8AdQB0AGkAbABzACkAIAAvACAAKAAxACAAKwAgAGUAZgBmAGUAYwB0AF8AcgBhAHQAZQApACAAXgAgAGMAeQBjAGwAZQAsAFwAbgAgACAAIAAgACAAIAAgACAAIAAgACAAIAAgACAAIAAgACAAIAAgACAAYwB5AGMAbABlAF8AbAB5ACwAIABTAFUATQBQAFIATwBEAFUAQwBUACgAbgBlAHgAdABfAHMAdABhAHQAZQAsACAAYQBsAGkAdgBlAF8AdgBlAGMAdABvAHIAKQAgAC8AIAAoADEAIAArACAAZQBmAGYAZQBjAHQAXwByAGEAdABlACkAIABeACAAYwB5AGMAbABlACwAXABuACAAIAAgACAAIAAgACAAIAAgACAAIAAgACAAIAAgACAAIAAgACAAIABIAFMAVABBAEMASwAoAFwAbgAgACAAIAAgACAAIAAgACAAIAAgACAAIAAgACAAIAAgACAAIAAgACAAIAAgACAAIABuAGUAeAB0AF8AcwB0AGEAdABlACwAXABuACAAIAAgACAAIAAgACAAIAAgACAAIAAgACAAIAAgACAAIAAgACAAIAAgACAAIAAgAEkATgBEAEUAWAAoAGEAYwBjAHUAbQB1AGwAYQB0AG8AcgAsACAAMQAsACAAbgBfAHMAdABhAHQAZQBzACAAKwAgADEAKQAgACsAIABjAHkAYwBsAGUAXwBjAG8AcwB0ACwAXABuACAAIAAgACAAIAAgACAAIAAgACAAIAAgACAAIAAgACAAIAAgACAAIAAgACAAIAAgAEkATgBEAEUAWAAoAGEAYwBjAHUAbQB1AGwAYQB0AG8AcgAsACAAMQAsACAAbgBfAHMAdABhAHQAZQBzACAAKwAgADIAKQAgACsAIABjAHkAYwBsAGUAXwBxAGEAbAB5ACwAXABuACAAIAAgACAAIAAgACAAIAAgACAAIAAgACAAIAAgACAAIAAgACAAIAAgACAAIAAgAEkATgBEAEUAWAAoAGEAYwBjAHUAbQB1AGwAYQB0AG8AcgAsACAAMQAsACAAbgBfAHMAdABhAHQAZQBzACAAKwAgADMAKQAgACsAIABjAHkAYwBsAGUAXwBsAHkAXABuACAAIAAgACAAIAAgACAAIAAgACAAIAAgACAAIAAgACAAIAAgACAAIAApAFwAbgAgACAAIAAgACAAIAAgACAAIAAgACAAIAAgACAAIAAgACkAXABuACAAIAAgACAAIAAgACAAIAAgACAAIAAgACkAXABuACAAIAAgACAAIAAgACAAIAApACwAXABuACAAIAAgACAAIAAgACAAIABWAFMAVABBAEMASwAoAHsAXAAiAEQAaQBzAGMAXwBDAG8AcwB0AFwAIgAsACAAXAAiAEQAaQBzAGMAXwBRAEEATABZAFwAIgAsACAAXAAiAEQAaQBzAGMAXwBMAFkAXAAiAH0ALAAgAEQAUgBPAFAAKAByAGUAcwB1AGwAdABzACwAIAAsACAAbgBfAHMAdABhAHQAZQBzACkAKQBcAG4AIAAgACAAIAApAFwAbgApADsAIgB9AF0ALAAiAHAAcgBvAGoAZQBjAHQATgBhAG0AZQBzACIAOgBbACIAQwBvAGgAbwByAHQAUwBUAE0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rC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10237618-A8CE-4784-8E7F-6FDA95CF7BB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cost_row</vt:lpstr>
      <vt:lpstr>dr_cost</vt:lpstr>
      <vt:lpstr>dr_effect</vt:lpstr>
      <vt:lpstr>init_row</vt:lpstr>
      <vt:lpstr>time_horizon</vt:lpstr>
      <vt:lpstr>tp_matrix</vt:lpstr>
      <vt:lpstr>util_row</vt:lpstr>
    </vt:vector>
  </TitlesOfParts>
  <Company>Maple 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Niall Davison</dc:creator>
  <cp:lastModifiedBy>Rob Blissett</cp:lastModifiedBy>
  <dcterms:created xsi:type="dcterms:W3CDTF">2025-11-04T16:35:58Z</dcterms:created>
  <dcterms:modified xsi:type="dcterms:W3CDTF">2025-11-04T17:41:49Z</dcterms:modified>
</cp:coreProperties>
</file>